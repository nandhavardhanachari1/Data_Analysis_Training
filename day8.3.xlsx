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DD5B3405-6FB7-44FB-AAB9-43B7EF915962}" xr6:coauthVersionLast="47" xr6:coauthVersionMax="47" xr10:uidLastSave="{00000000-0000-0000-0000-000000000000}"/>
  <bookViews>
    <workbookView xWindow="-120" yWindow="-120" windowWidth="29040" windowHeight="15720" xr2:uid="{3A202B66-745A-48AA-8815-AE584C87A4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1" l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<sst xmlns="http://schemas.openxmlformats.org/spreadsheetml/2006/main" count="49" uniqueCount="36">
  <si>
    <t>Customer_ID</t>
  </si>
  <si>
    <t>Customer_Name</t>
  </si>
  <si>
    <t>Age</t>
  </si>
  <si>
    <t>Account_Type</t>
  </si>
  <si>
    <t>Balance (₹)</t>
  </si>
  <si>
    <t>Monthly_Income (₹)</t>
  </si>
  <si>
    <t>Loan_Amount (₹)</t>
  </si>
  <si>
    <t>Credit_Score</t>
  </si>
  <si>
    <t>Ravi Kumar</t>
  </si>
  <si>
    <t>Savings</t>
  </si>
  <si>
    <t>Priya Sharma</t>
  </si>
  <si>
    <t>Current</t>
  </si>
  <si>
    <t>Kiran Reddy</t>
  </si>
  <si>
    <t>Anjali Verma</t>
  </si>
  <si>
    <t>Vijay Kumar</t>
  </si>
  <si>
    <t>Sneha Sharma</t>
  </si>
  <si>
    <t>Arjun Singh</t>
  </si>
  <si>
    <t>Neha Gupta</t>
  </si>
  <si>
    <t>Rohit Sharma</t>
  </si>
  <si>
    <t>Pooja Patel</t>
  </si>
  <si>
    <t>Mahesh Reddy</t>
  </si>
  <si>
    <t>Deepika Rao</t>
  </si>
  <si>
    <t>Naveen Kumar</t>
  </si>
  <si>
    <t>Kavya Reddy</t>
  </si>
  <si>
    <t>Rahul Verma</t>
  </si>
  <si>
    <t>Functions are</t>
  </si>
  <si>
    <t>count</t>
  </si>
  <si>
    <t>counta</t>
  </si>
  <si>
    <t>null</t>
  </si>
  <si>
    <t>sd</t>
  </si>
  <si>
    <t>blank</t>
  </si>
  <si>
    <t>countif</t>
  </si>
  <si>
    <t>mean</t>
  </si>
  <si>
    <t>median</t>
  </si>
  <si>
    <t>mode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</si>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</sst>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/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B0B2B-CD16-4B10-BFCB-1D1F53B870E7}">
  <dimension ref="A1:N17"/>
  <sheetViews>
    <sheetView tabSelected="1" workbookViewId="0">
      <selection activeCell="D21" sqref="D21"/>
    </sheetView>
  </sheetViews>
  <sheetFormatPr defaultRowHeight="15" x14ac:dyDescent="0.25"/>
  <cols>
    <col min="1" max="1" width="20.5703125" customWidth="1"/>
    <col min="2" max="2" width="15.5703125" customWidth="1"/>
    <col min="3" max="3" width="15.28515625" customWidth="1"/>
    <col min="4" max="4" width="14" customWidth="1"/>
    <col min="5" max="5" width="15.42578125" customWidth="1"/>
    <col min="6" max="6" width="21.5703125" customWidth="1"/>
    <col min="7" max="7" width="22.28515625" customWidth="1"/>
    <col min="8" max="8" width="14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4" ht="26.25" x14ac:dyDescent="0.4">
      <c r="A2" s="1">
        <v>1001</v>
      </c>
      <c r="B2" s="1" t="s">
        <v>8</v>
      </c>
      <c r="C2" s="1">
        <v>25</v>
      </c>
      <c r="D2" s="1" t="s">
        <v>9</v>
      </c>
      <c r="E2" s="1">
        <v>25000.5</v>
      </c>
      <c r="F2" s="1">
        <v>35000.75</v>
      </c>
      <c r="G2" s="1">
        <v>100000</v>
      </c>
      <c r="H2" s="1">
        <v>720</v>
      </c>
      <c r="L2" s="2" t="s">
        <v>25</v>
      </c>
      <c r="M2" s="3"/>
      <c r="N2" s="3"/>
    </row>
    <row r="3" spans="1:14" x14ac:dyDescent="0.25">
      <c r="A3" s="1">
        <v>1002</v>
      </c>
      <c r="B3" s="1" t="s">
        <v>10</v>
      </c>
      <c r="C3" s="1">
        <v>30</v>
      </c>
      <c r="D3" s="1" t="s">
        <v>11</v>
      </c>
      <c r="E3" s="1">
        <v>45200.75</v>
      </c>
      <c r="F3" s="1">
        <v>45000.5</v>
      </c>
      <c r="G3" s="1">
        <v>150000.5</v>
      </c>
      <c r="H3" s="1">
        <v>780</v>
      </c>
      <c r="K3" s="4"/>
      <c r="L3" s="4"/>
      <c r="M3" s="4"/>
      <c r="N3" s="4"/>
    </row>
    <row r="4" spans="1:14" x14ac:dyDescent="0.25">
      <c r="A4" s="1">
        <v>1003</v>
      </c>
      <c r="B4" s="1" t="s">
        <v>12</v>
      </c>
      <c r="C4" s="1">
        <v>28</v>
      </c>
      <c r="D4" s="1" t="s">
        <v>9</v>
      </c>
      <c r="E4" s="1">
        <v>38750.25</v>
      </c>
      <c r="F4" s="1">
        <v>42000.25</v>
      </c>
      <c r="G4" s="1">
        <v>120000.75</v>
      </c>
      <c r="H4" s="1">
        <v>740</v>
      </c>
      <c r="K4" s="4"/>
      <c r="L4" s="4" t="s">
        <v>26</v>
      </c>
      <c r="M4" s="4">
        <f>COUNT(A2:A16)</f>
        <v>13</v>
      </c>
      <c r="N4" s="4"/>
    </row>
    <row r="5" spans="1:14" x14ac:dyDescent="0.25">
      <c r="A5" s="1">
        <v>1004</v>
      </c>
      <c r="B5" s="1" t="s">
        <v>13</v>
      </c>
      <c r="C5" s="1">
        <v>35</v>
      </c>
      <c r="D5" s="1" t="s">
        <v>11</v>
      </c>
      <c r="E5" s="1">
        <v>60500.800000000003</v>
      </c>
      <c r="F5" s="1">
        <v>55000.6</v>
      </c>
      <c r="G5" s="1">
        <v>200000.25</v>
      </c>
      <c r="H5" s="1">
        <v>810</v>
      </c>
      <c r="K5" s="4"/>
      <c r="L5" s="4" t="s">
        <v>27</v>
      </c>
      <c r="M5" s="4">
        <f>COUNTA(D2:D25)</f>
        <v>16</v>
      </c>
      <c r="N5" s="4"/>
    </row>
    <row r="6" spans="1:14" x14ac:dyDescent="0.25">
      <c r="A6" s="1">
        <v>1005</v>
      </c>
      <c r="B6" s="1" t="s">
        <v>14</v>
      </c>
      <c r="C6" s="1">
        <v>40</v>
      </c>
      <c r="D6" s="1" t="s">
        <v>9</v>
      </c>
      <c r="E6" s="1">
        <v>75200.600000000006</v>
      </c>
      <c r="F6" s="1">
        <v>65000.75</v>
      </c>
      <c r="G6" s="1"/>
      <c r="H6" s="1">
        <v>850</v>
      </c>
      <c r="K6" s="4"/>
      <c r="L6" s="4" t="s">
        <v>30</v>
      </c>
      <c r="M6" s="4">
        <f>COUNTBLANK(G1:G16)</f>
        <v>2</v>
      </c>
      <c r="N6" s="4"/>
    </row>
    <row r="7" spans="1:14" x14ac:dyDescent="0.25">
      <c r="A7" s="1">
        <v>1006</v>
      </c>
      <c r="B7" s="1" t="s">
        <v>15</v>
      </c>
      <c r="C7" s="1">
        <v>27</v>
      </c>
      <c r="D7" s="1" t="s">
        <v>9</v>
      </c>
      <c r="E7" s="1">
        <v>32000.400000000001</v>
      </c>
      <c r="F7" s="1">
        <v>38000.25</v>
      </c>
      <c r="G7" s="1"/>
      <c r="H7" s="1">
        <v>710</v>
      </c>
      <c r="K7" s="4"/>
      <c r="L7" s="4" t="s">
        <v>31</v>
      </c>
      <c r="M7" s="4">
        <f>COUNTIF(C1:C16,"&gt;40")</f>
        <v>1</v>
      </c>
      <c r="N7" s="4"/>
    </row>
    <row r="8" spans="1:14" x14ac:dyDescent="0.25">
      <c r="A8" s="1" t="s">
        <v>28</v>
      </c>
      <c r="B8" s="1" t="s">
        <v>16</v>
      </c>
      <c r="C8" s="1">
        <v>32</v>
      </c>
      <c r="D8" s="1">
        <v>67</v>
      </c>
      <c r="E8" s="1">
        <v>48000.25</v>
      </c>
      <c r="F8" s="1">
        <v>55000.6</v>
      </c>
      <c r="G8" s="1">
        <v>180000.75</v>
      </c>
      <c r="H8" s="1">
        <v>790</v>
      </c>
      <c r="K8" s="4"/>
      <c r="L8" s="4" t="s">
        <v>32</v>
      </c>
      <c r="M8" s="4">
        <f>AVERAGE(G1:G16)</f>
        <v>168846.63461538462</v>
      </c>
      <c r="N8" s="4"/>
    </row>
    <row r="9" spans="1:14" x14ac:dyDescent="0.25">
      <c r="A9" s="1" t="s">
        <v>28</v>
      </c>
      <c r="B9" s="1" t="s">
        <v>17</v>
      </c>
      <c r="C9" s="1">
        <v>29</v>
      </c>
      <c r="D9" s="1" t="s">
        <v>9</v>
      </c>
      <c r="E9" s="1">
        <v>55000.75</v>
      </c>
      <c r="F9" s="1">
        <v>47000.25</v>
      </c>
      <c r="G9" s="1">
        <v>160000.5</v>
      </c>
      <c r="H9" s="1">
        <v>770</v>
      </c>
      <c r="K9" s="4"/>
      <c r="L9" s="4" t="s">
        <v>33</v>
      </c>
      <c r="M9" s="4">
        <f>MEDIAN(H1:H16)</f>
        <v>770</v>
      </c>
      <c r="N9" s="4"/>
    </row>
    <row r="10" spans="1:14" x14ac:dyDescent="0.25">
      <c r="A10" s="1">
        <v>1009</v>
      </c>
      <c r="B10" s="1" t="s">
        <v>18</v>
      </c>
      <c r="C10" s="1">
        <v>31</v>
      </c>
      <c r="D10" s="1" t="s">
        <v>11</v>
      </c>
      <c r="E10" s="1">
        <v>42000.5</v>
      </c>
      <c r="F10" s="1">
        <v>46000.800000000003</v>
      </c>
      <c r="G10" s="1">
        <v>140000.25</v>
      </c>
      <c r="H10" s="1">
        <v>750</v>
      </c>
      <c r="K10" s="4"/>
      <c r="L10" s="4" t="s">
        <v>34</v>
      </c>
      <c r="M10" s="4">
        <f>MODE(F1:F16)</f>
        <v>55000.6</v>
      </c>
      <c r="N10" s="4"/>
    </row>
    <row r="11" spans="1:14" x14ac:dyDescent="0.25">
      <c r="A11" s="1">
        <v>1010</v>
      </c>
      <c r="B11" s="1" t="s">
        <v>19</v>
      </c>
      <c r="C11" s="1">
        <v>26</v>
      </c>
      <c r="D11" s="1" t="s">
        <v>9</v>
      </c>
      <c r="E11" s="1">
        <v>28000.6</v>
      </c>
      <c r="F11" s="1">
        <v>36000.5</v>
      </c>
      <c r="G11" s="1">
        <v>105000.75</v>
      </c>
      <c r="H11" s="1">
        <v>700</v>
      </c>
      <c r="K11" s="4"/>
      <c r="L11" s="4" t="s">
        <v>35</v>
      </c>
      <c r="M11" s="4">
        <f>_xlfn.STDEV.S(H1:H16)</f>
        <v>55.609180468524734</v>
      </c>
      <c r="N11" s="4"/>
    </row>
    <row r="12" spans="1:14" x14ac:dyDescent="0.25">
      <c r="A12" s="1">
        <v>1011</v>
      </c>
      <c r="B12" s="1" t="s">
        <v>20</v>
      </c>
      <c r="C12" s="1">
        <v>38</v>
      </c>
      <c r="D12" s="1" t="s">
        <v>11</v>
      </c>
      <c r="E12" s="1">
        <v>68000.25</v>
      </c>
      <c r="F12" s="1">
        <v>62000.4</v>
      </c>
      <c r="G12" s="1">
        <v>250000.5</v>
      </c>
      <c r="H12" s="1">
        <v>830</v>
      </c>
      <c r="K12" s="4"/>
      <c r="L12" s="4"/>
      <c r="M12" s="4"/>
      <c r="N12" s="4"/>
    </row>
    <row r="13" spans="1:14" x14ac:dyDescent="0.25">
      <c r="A13" s="1">
        <v>1012</v>
      </c>
      <c r="B13" s="1" t="s">
        <v>21</v>
      </c>
      <c r="C13" s="1">
        <v>24</v>
      </c>
      <c r="D13" s="1" t="s">
        <v>9</v>
      </c>
      <c r="E13" s="1">
        <v>22000.75</v>
      </c>
      <c r="F13" s="1">
        <v>32000.25</v>
      </c>
      <c r="G13" s="1">
        <v>95000.5</v>
      </c>
      <c r="H13" s="1">
        <v>690</v>
      </c>
    </row>
    <row r="14" spans="1:14" x14ac:dyDescent="0.25">
      <c r="A14" s="1">
        <v>1013</v>
      </c>
      <c r="B14" s="1" t="s">
        <v>22</v>
      </c>
      <c r="C14" s="1">
        <v>42</v>
      </c>
      <c r="D14" s="1" t="s">
        <v>11</v>
      </c>
      <c r="E14" s="1">
        <v>81000.5</v>
      </c>
      <c r="F14" s="1">
        <v>70000.75</v>
      </c>
      <c r="G14" s="1">
        <v>350000.25</v>
      </c>
      <c r="H14" s="1">
        <v>870</v>
      </c>
    </row>
    <row r="15" spans="1:14" x14ac:dyDescent="0.25">
      <c r="A15" s="1">
        <v>1014</v>
      </c>
      <c r="B15" s="1" t="s">
        <v>23</v>
      </c>
      <c r="C15" s="1">
        <v>28</v>
      </c>
      <c r="D15" s="1" t="s">
        <v>9</v>
      </c>
      <c r="E15" s="1">
        <v>36500.25</v>
      </c>
      <c r="F15" s="1">
        <v>41000.5</v>
      </c>
      <c r="G15" s="1">
        <v>125000.75</v>
      </c>
      <c r="H15" s="1">
        <v>730</v>
      </c>
    </row>
    <row r="16" spans="1:14" x14ac:dyDescent="0.25">
      <c r="A16" s="1">
        <v>1015</v>
      </c>
      <c r="B16" s="1" t="s">
        <v>24</v>
      </c>
      <c r="C16" s="1">
        <v>36</v>
      </c>
      <c r="D16" s="1" t="s">
        <v>11</v>
      </c>
      <c r="E16" s="1">
        <v>59000.75</v>
      </c>
      <c r="F16" s="1">
        <v>58000.25</v>
      </c>
      <c r="G16" s="1">
        <v>220000.5</v>
      </c>
      <c r="H16" s="1">
        <v>800</v>
      </c>
    </row>
    <row r="17" spans="4:4" x14ac:dyDescent="0.25">
      <c r="D17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2026-06-02T08:51:53Z</dcterms:created>
  <dcterms:modified xsi:type="dcterms:W3CDTF">2026-06-02T10:07:49Z</dcterms:modified>
</cp:coreProperties>
</file>