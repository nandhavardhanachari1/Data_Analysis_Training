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D8E86429-101A-4799-8557-92F0D7FB6E18}" xr6:coauthVersionLast="47" xr6:coauthVersionMax="47" xr10:uidLastSave="{00000000-0000-0000-0000-000000000000}"/>
  <bookViews>
    <workbookView xWindow="-120" yWindow="-120" windowWidth="29040" windowHeight="15720" xr2:uid="{509D0729-C961-4B3D-9810-256218F96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5" i="1" l="1"/>
  <c r="Q24" i="1"/>
  <c r="Q23" i="1"/>
  <c r="Q22" i="1"/>
  <c r="Q21" i="1"/>
  <c r="K25" i="1"/>
  <c r="K24" i="1"/>
  <c r="K23" i="1"/>
  <c r="K22" i="1"/>
  <c r="K21" i="1"/>
  <c r="B29" i="1"/>
  <c r="B25" i="1"/>
  <c r="B21" i="1"/>
  <c r="B16" i="1"/>
  <c r="B10" i="1"/>
  <c r="B4" i="1"/>
</calcChain>
</file>

<file path=xl/sharedStrings.xml><?xml version="1.0" encoding="utf-8"?>
<sst xmlns="http://schemas.openxmlformats.org/spreadsheetml/2006/main" count="58" uniqueCount="39">
  <si>
    <t>Find</t>
  </si>
  <si>
    <t>Nandha Vardhan</t>
  </si>
  <si>
    <t xml:space="preserve"> Vardhan</t>
  </si>
  <si>
    <t>Replace</t>
  </si>
  <si>
    <t>NandhaVardhan</t>
  </si>
  <si>
    <t>subtitute</t>
  </si>
  <si>
    <t>Hari Krishna</t>
  </si>
  <si>
    <t>mid</t>
  </si>
  <si>
    <t>naveen</t>
  </si>
  <si>
    <t>search</t>
  </si>
  <si>
    <t>Rakesh</t>
  </si>
  <si>
    <t>concat</t>
  </si>
  <si>
    <t>Nandha</t>
  </si>
  <si>
    <t>Vardhan</t>
  </si>
  <si>
    <t>Date</t>
  </si>
  <si>
    <t>product</t>
  </si>
  <si>
    <t>color</t>
  </si>
  <si>
    <t>region</t>
  </si>
  <si>
    <t>value</t>
  </si>
  <si>
    <t>watch</t>
  </si>
  <si>
    <t>mouse</t>
  </si>
  <si>
    <t>keyboard</t>
  </si>
  <si>
    <t>pen</t>
  </si>
  <si>
    <t>pencil</t>
  </si>
  <si>
    <t>red</t>
  </si>
  <si>
    <t>yellow</t>
  </si>
  <si>
    <t>blue</t>
  </si>
  <si>
    <t>pink</t>
  </si>
  <si>
    <t>ap</t>
  </si>
  <si>
    <t>mh</t>
  </si>
  <si>
    <t>tn</t>
  </si>
  <si>
    <t>kl</t>
  </si>
  <si>
    <t>sums</t>
  </si>
  <si>
    <t>Total</t>
  </si>
  <si>
    <t>Red</t>
  </si>
  <si>
    <t>keyboard+yellow</t>
  </si>
  <si>
    <t>keyboard+yellow+mh</t>
  </si>
  <si>
    <t>average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</si>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</sst>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0" xfId="0" applyFont="1" applyFill="1"/>
    <xf numFmtId="0" fontId="0" fillId="3" borderId="0" xfId="0" applyFill="1"/>
    <xf numFmtId="0" fontId="1" fillId="2" borderId="0" xfId="0" applyFont="1" applyFill="1"/>
    <xf numFmtId="0" fontId="0" fillId="2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4" fontId="0" fillId="9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1666-D364-45CB-9BF6-E35AF9DC6961}">
  <dimension ref="B2:Q29"/>
  <sheetViews>
    <sheetView tabSelected="1" workbookViewId="0">
      <selection activeCell="P15" sqref="P15"/>
    </sheetView>
  </sheetViews>
  <sheetFormatPr defaultRowHeight="15" x14ac:dyDescent="0.25"/>
  <cols>
    <col min="5" max="7" width="13.7109375" bestFit="1" customWidth="1"/>
    <col min="10" max="10" width="24" customWidth="1"/>
    <col min="11" max="11" width="17.42578125" customWidth="1"/>
    <col min="12" max="12" width="11.28515625" customWidth="1"/>
    <col min="16" max="16" width="23" customWidth="1"/>
  </cols>
  <sheetData>
    <row r="2" spans="2:14" x14ac:dyDescent="0.25">
      <c r="B2" s="1" t="s">
        <v>0</v>
      </c>
      <c r="C2" s="2"/>
    </row>
    <row r="3" spans="2:14" x14ac:dyDescent="0.25">
      <c r="B3" s="2" t="s">
        <v>1</v>
      </c>
      <c r="C3" s="2" t="s">
        <v>2</v>
      </c>
    </row>
    <row r="4" spans="2:14" x14ac:dyDescent="0.25">
      <c r="B4" s="2">
        <f>FIND(C3,B3)</f>
        <v>7</v>
      </c>
      <c r="C4" s="2"/>
    </row>
    <row r="7" spans="2:14" x14ac:dyDescent="0.25">
      <c r="J7" s="14" t="s">
        <v>14</v>
      </c>
      <c r="K7" s="14" t="s">
        <v>15</v>
      </c>
      <c r="L7" s="14" t="s">
        <v>16</v>
      </c>
      <c r="M7" s="14" t="s">
        <v>17</v>
      </c>
      <c r="N7" s="14" t="s">
        <v>18</v>
      </c>
    </row>
    <row r="8" spans="2:14" x14ac:dyDescent="0.25">
      <c r="B8" s="3" t="s">
        <v>3</v>
      </c>
      <c r="C8" s="4"/>
      <c r="J8" s="15">
        <v>46174</v>
      </c>
      <c r="K8" s="14" t="s">
        <v>20</v>
      </c>
      <c r="L8" s="14" t="s">
        <v>24</v>
      </c>
      <c r="M8" s="14" t="s">
        <v>28</v>
      </c>
      <c r="N8" s="14">
        <v>30</v>
      </c>
    </row>
    <row r="9" spans="2:14" x14ac:dyDescent="0.25">
      <c r="B9" s="4" t="s">
        <v>4</v>
      </c>
      <c r="C9" s="4"/>
      <c r="J9" s="15">
        <v>46175</v>
      </c>
      <c r="K9" s="14" t="s">
        <v>19</v>
      </c>
      <c r="L9" s="14" t="s">
        <v>25</v>
      </c>
      <c r="M9" s="14" t="s">
        <v>29</v>
      </c>
      <c r="N9" s="14">
        <v>100</v>
      </c>
    </row>
    <row r="10" spans="2:14" x14ac:dyDescent="0.25">
      <c r="B10" s="4" t="str">
        <f>REPLACE(B9,1,6,"sai")</f>
        <v>saiVardhan</v>
      </c>
      <c r="C10" s="4"/>
      <c r="J10" s="15">
        <v>46176</v>
      </c>
      <c r="K10" s="14" t="s">
        <v>20</v>
      </c>
      <c r="L10" s="14" t="s">
        <v>26</v>
      </c>
      <c r="M10" s="14" t="s">
        <v>29</v>
      </c>
      <c r="N10" s="14">
        <v>50</v>
      </c>
    </row>
    <row r="11" spans="2:14" x14ac:dyDescent="0.25">
      <c r="J11" s="15">
        <v>46177</v>
      </c>
      <c r="K11" s="14" t="s">
        <v>21</v>
      </c>
      <c r="L11" s="14" t="s">
        <v>25</v>
      </c>
      <c r="M11" s="14" t="s">
        <v>30</v>
      </c>
      <c r="N11" s="14">
        <v>250</v>
      </c>
    </row>
    <row r="12" spans="2:14" x14ac:dyDescent="0.25">
      <c r="J12" s="15">
        <v>46178</v>
      </c>
      <c r="K12" s="14" t="s">
        <v>19</v>
      </c>
      <c r="L12" s="14" t="s">
        <v>24</v>
      </c>
      <c r="M12" s="14" t="s">
        <v>28</v>
      </c>
      <c r="N12" s="14">
        <v>60</v>
      </c>
    </row>
    <row r="13" spans="2:14" x14ac:dyDescent="0.25">
      <c r="J13" s="15">
        <v>46179</v>
      </c>
      <c r="K13" s="14" t="s">
        <v>22</v>
      </c>
      <c r="L13" s="14" t="s">
        <v>26</v>
      </c>
      <c r="M13" s="14" t="s">
        <v>31</v>
      </c>
      <c r="N13" s="14">
        <v>20</v>
      </c>
    </row>
    <row r="14" spans="2:14" x14ac:dyDescent="0.25">
      <c r="B14" s="5" t="s">
        <v>5</v>
      </c>
      <c r="C14" s="6"/>
      <c r="J14" s="15">
        <v>46180</v>
      </c>
      <c r="K14" s="14" t="s">
        <v>23</v>
      </c>
      <c r="L14" s="14" t="s">
        <v>24</v>
      </c>
      <c r="M14" s="14" t="s">
        <v>28</v>
      </c>
      <c r="N14" s="14">
        <v>50</v>
      </c>
    </row>
    <row r="15" spans="2:14" x14ac:dyDescent="0.25">
      <c r="B15" s="6" t="s">
        <v>6</v>
      </c>
      <c r="C15" s="6"/>
      <c r="J15" s="15">
        <v>46181</v>
      </c>
      <c r="K15" s="14" t="s">
        <v>19</v>
      </c>
      <c r="L15" s="14" t="s">
        <v>27</v>
      </c>
      <c r="M15" s="14" t="s">
        <v>29</v>
      </c>
      <c r="N15" s="14">
        <v>100</v>
      </c>
    </row>
    <row r="16" spans="2:14" x14ac:dyDescent="0.25">
      <c r="B16" s="6" t="str">
        <f>SUBSTITUTE(B15,"Hari","sai")</f>
        <v>sai Krishna</v>
      </c>
      <c r="C16" s="6"/>
      <c r="J16" s="15">
        <v>46182</v>
      </c>
      <c r="K16" s="14" t="s">
        <v>21</v>
      </c>
      <c r="L16" s="14" t="s">
        <v>25</v>
      </c>
      <c r="M16" s="14" t="s">
        <v>29</v>
      </c>
      <c r="N16" s="14">
        <v>150</v>
      </c>
    </row>
    <row r="19" spans="2:17" x14ac:dyDescent="0.25">
      <c r="B19" s="7" t="s">
        <v>7</v>
      </c>
      <c r="C19" s="8"/>
      <c r="J19" s="4" t="s">
        <v>32</v>
      </c>
      <c r="K19" s="4"/>
      <c r="P19" s="13" t="s">
        <v>38</v>
      </c>
      <c r="Q19" s="13"/>
    </row>
    <row r="20" spans="2:17" x14ac:dyDescent="0.25">
      <c r="B20" s="8" t="s">
        <v>8</v>
      </c>
      <c r="C20" s="8"/>
      <c r="J20" s="4"/>
      <c r="K20" s="4"/>
      <c r="P20" s="13"/>
      <c r="Q20" s="13"/>
    </row>
    <row r="21" spans="2:17" x14ac:dyDescent="0.25">
      <c r="B21" s="8" t="str">
        <f>MID(B20,3,4)</f>
        <v>veen</v>
      </c>
      <c r="C21" s="8"/>
      <c r="J21" s="4" t="s">
        <v>33</v>
      </c>
      <c r="K21" s="4">
        <f>SUM(N8:N16)</f>
        <v>810</v>
      </c>
      <c r="P21" s="13" t="s">
        <v>37</v>
      </c>
      <c r="Q21" s="13">
        <f>AVERAGE(N8:N16)</f>
        <v>90</v>
      </c>
    </row>
    <row r="22" spans="2:17" x14ac:dyDescent="0.25">
      <c r="J22" s="4" t="s">
        <v>34</v>
      </c>
      <c r="K22" s="4">
        <f>SUMIF(L8:L16,"red",N8:N16)</f>
        <v>140</v>
      </c>
      <c r="P22" s="13" t="s">
        <v>24</v>
      </c>
      <c r="Q22" s="13">
        <f>AVERAGEIF(L8:L16,"red",N8:N16)</f>
        <v>46.666666666666664</v>
      </c>
    </row>
    <row r="23" spans="2:17" x14ac:dyDescent="0.25">
      <c r="B23" s="9" t="s">
        <v>9</v>
      </c>
      <c r="C23" s="10"/>
      <c r="J23" s="4" t="s">
        <v>15</v>
      </c>
      <c r="K23" s="4">
        <f>SUMIF(K8:K16,"mouse",N8:N16)</f>
        <v>80</v>
      </c>
      <c r="P23" s="13" t="s">
        <v>15</v>
      </c>
      <c r="Q23" s="13">
        <f>AVERAGEIF(K8:K16,"mouse",N8:N16)</f>
        <v>40</v>
      </c>
    </row>
    <row r="24" spans="2:17" x14ac:dyDescent="0.25">
      <c r="B24" s="10" t="s">
        <v>10</v>
      </c>
      <c r="C24" s="10"/>
      <c r="J24" s="4" t="s">
        <v>35</v>
      </c>
      <c r="K24" s="4">
        <f>SUMIFS(N8:N16,K8:K16,"keyboard",L8:L16,"yellow")</f>
        <v>400</v>
      </c>
      <c r="P24" s="13" t="s">
        <v>35</v>
      </c>
      <c r="Q24" s="13">
        <f>AVERAGEIFS(N8:N16,K8:K16,"keyboard",L8:L16,"yellow")</f>
        <v>200</v>
      </c>
    </row>
    <row r="25" spans="2:17" x14ac:dyDescent="0.25">
      <c r="B25" s="10">
        <f>SEARCH("es",B24)</f>
        <v>4</v>
      </c>
      <c r="C25" s="10"/>
      <c r="J25" s="4" t="s">
        <v>36</v>
      </c>
      <c r="K25" s="4">
        <f>SUMIFS(N8:N16,K8:K16,"keyboard",L8:L16,"yellow",M8:M16,"mh")</f>
        <v>150</v>
      </c>
      <c r="P25" s="13" t="s">
        <v>36</v>
      </c>
      <c r="Q25" s="13">
        <f>AVERAGEIFS(N8:N16,K8:K16,"keyboard",L8:L16,"yellow",M8:M16,"mh")</f>
        <v>150</v>
      </c>
    </row>
    <row r="27" spans="2:17" x14ac:dyDescent="0.25">
      <c r="B27" s="11" t="s">
        <v>11</v>
      </c>
      <c r="C27" s="12"/>
    </row>
    <row r="28" spans="2:17" x14ac:dyDescent="0.25">
      <c r="B28" s="12" t="s">
        <v>12</v>
      </c>
      <c r="C28" s="12" t="s">
        <v>13</v>
      </c>
    </row>
    <row r="29" spans="2:17" x14ac:dyDescent="0.25">
      <c r="B29" s="12" t="str">
        <f>_xlfn.CONCAT(B28,C28)</f>
        <v>NandhaVardhan</v>
      </c>
      <c r="C2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</dc:creator>
  <cp:lastModifiedBy>MITS</cp:lastModifiedBy>
  <dcterms:created xsi:type="dcterms:W3CDTF">2023-09-02T13:45:58Z</dcterms:created>
  <dcterms:modified xsi:type="dcterms:W3CDTF">2026-06-01T11:24:14Z</dcterms:modified>
</cp:coreProperties>
</file>