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D3D64076-697D-453F-B00D-BEA782705006}" xr6:coauthVersionLast="47" xr6:coauthVersionMax="47" xr10:uidLastSave="{00000000-0000-0000-0000-000000000000}"/>
  <bookViews>
    <workbookView xWindow="-120" yWindow="-120" windowWidth="29040" windowHeight="15720" xr2:uid="{6927A798-AC9A-45B9-B057-6008534956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1" l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26" i="1"/>
</calcChain>
</file>

<file path=xl/sharedStrings.xml><?xml version="1.0" encoding="utf-8"?>
<sst xmlns="http://schemas.openxmlformats.org/spreadsheetml/2006/main" count="92" uniqueCount="43">
  <si>
    <t>Student_ID</t>
  </si>
  <si>
    <t>Name</t>
  </si>
  <si>
    <t>Marks</t>
  </si>
  <si>
    <t>Attendance %</t>
  </si>
  <si>
    <t>Logical and error Functions</t>
  </si>
  <si>
    <t>Age</t>
  </si>
  <si>
    <t>Gender</t>
  </si>
  <si>
    <t>Department</t>
  </si>
  <si>
    <t>Year</t>
  </si>
  <si>
    <t>City</t>
  </si>
  <si>
    <t>Project Marks</t>
  </si>
  <si>
    <t>Ravi Kumar</t>
  </si>
  <si>
    <t>Male</t>
  </si>
  <si>
    <t>CSE</t>
  </si>
  <si>
    <t>Guntur</t>
  </si>
  <si>
    <t>Priya Sharma</t>
  </si>
  <si>
    <t>Female</t>
  </si>
  <si>
    <t>ECE</t>
  </si>
  <si>
    <t>Vijayawada</t>
  </si>
  <si>
    <t>Kiran Reddy</t>
  </si>
  <si>
    <t>Hyderabad</t>
  </si>
  <si>
    <t>Anjali Verma</t>
  </si>
  <si>
    <t>EEE</t>
  </si>
  <si>
    <t>Chennai</t>
  </si>
  <si>
    <t>Vijay Kumar</t>
  </si>
  <si>
    <t>MECH</t>
  </si>
  <si>
    <t>Bangalore</t>
  </si>
  <si>
    <t>Sneha Sharma</t>
  </si>
  <si>
    <t>Arjun Singh</t>
  </si>
  <si>
    <t>Neha Gupta</t>
  </si>
  <si>
    <t>Rohit Sharma</t>
  </si>
  <si>
    <t>Pooja Patel</t>
  </si>
  <si>
    <t>Mahesh Reddy</t>
  </si>
  <si>
    <t>Deepika Rao</t>
  </si>
  <si>
    <t>Naveen Kumar</t>
  </si>
  <si>
    <t>Kavya Reddy</t>
  </si>
  <si>
    <t>Rahul Verma</t>
  </si>
  <si>
    <t>status</t>
  </si>
  <si>
    <t>student</t>
  </si>
  <si>
    <t>error</t>
  </si>
  <si>
    <t>and(if student is age&gt;20 &amp; attend&gt;75</t>
  </si>
  <si>
    <t>or(if male or female, get cse )</t>
  </si>
  <si>
    <t>not(BELOW projects less than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</si>
</sst>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5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99A3-2C9D-4187-AB35-CF9A547A480D}">
  <dimension ref="A1:T40"/>
  <sheetViews>
    <sheetView tabSelected="1" topLeftCell="A7" workbookViewId="0">
      <selection activeCell="J18" sqref="J18"/>
    </sheetView>
  </sheetViews>
  <sheetFormatPr defaultRowHeight="15" x14ac:dyDescent="0.25"/>
  <cols>
    <col min="1" max="1" width="15" customWidth="1"/>
    <col min="2" max="2" width="18.28515625" customWidth="1"/>
    <col min="3" max="3" width="15.85546875" customWidth="1"/>
    <col min="4" max="4" width="19.7109375" customWidth="1"/>
    <col min="5" max="5" width="38.7109375" customWidth="1"/>
    <col min="6" max="6" width="28.7109375" customWidth="1"/>
    <col min="7" max="7" width="37" customWidth="1"/>
    <col min="8" max="8" width="17.42578125" customWidth="1"/>
    <col min="9" max="9" width="12.140625" customWidth="1"/>
    <col min="10" max="10" width="13.5703125" customWidth="1"/>
  </cols>
  <sheetData>
    <row r="1" spans="1:20" ht="30" x14ac:dyDescent="0.25">
      <c r="A1" s="2" t="s">
        <v>0</v>
      </c>
      <c r="B1" s="2" t="s">
        <v>1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2</v>
      </c>
      <c r="I1" s="2" t="s">
        <v>3</v>
      </c>
      <c r="J1" s="2" t="s">
        <v>10</v>
      </c>
    </row>
    <row r="2" spans="1:20" x14ac:dyDescent="0.25">
      <c r="A2" s="3">
        <v>101</v>
      </c>
      <c r="B2" s="3" t="s">
        <v>11</v>
      </c>
      <c r="C2" s="3">
        <v>20</v>
      </c>
      <c r="D2" s="3" t="s">
        <v>12</v>
      </c>
      <c r="E2" s="3" t="s">
        <v>13</v>
      </c>
      <c r="F2" s="3">
        <v>3</v>
      </c>
      <c r="G2" s="3" t="s">
        <v>14</v>
      </c>
      <c r="H2" s="3">
        <v>85</v>
      </c>
      <c r="I2" s="3">
        <v>92</v>
      </c>
      <c r="J2" s="3">
        <v>18</v>
      </c>
    </row>
    <row r="3" spans="1:20" x14ac:dyDescent="0.25">
      <c r="A3" s="3">
        <v>102</v>
      </c>
      <c r="B3" s="3" t="s">
        <v>15</v>
      </c>
      <c r="C3" s="3">
        <v>21</v>
      </c>
      <c r="D3" s="3" t="s">
        <v>16</v>
      </c>
      <c r="E3" s="3" t="s">
        <v>17</v>
      </c>
      <c r="F3" s="3">
        <v>3</v>
      </c>
      <c r="G3" s="3" t="s">
        <v>18</v>
      </c>
      <c r="H3" s="3">
        <v>45</v>
      </c>
      <c r="I3" s="3">
        <v>88</v>
      </c>
      <c r="J3" s="3">
        <v>15</v>
      </c>
    </row>
    <row r="4" spans="1:20" ht="23.25" x14ac:dyDescent="0.35">
      <c r="A4" s="3">
        <v>103</v>
      </c>
      <c r="B4" s="3" t="s">
        <v>19</v>
      </c>
      <c r="C4" s="3">
        <v>22</v>
      </c>
      <c r="D4" s="3" t="s">
        <v>12</v>
      </c>
      <c r="E4" s="3" t="s">
        <v>13</v>
      </c>
      <c r="F4" s="3">
        <v>4</v>
      </c>
      <c r="G4" s="3" t="s">
        <v>20</v>
      </c>
      <c r="H4" s="3">
        <v>72</v>
      </c>
      <c r="I4" s="3">
        <v>95</v>
      </c>
      <c r="J4" s="3">
        <v>17</v>
      </c>
      <c r="R4" s="1"/>
      <c r="S4" s="4"/>
      <c r="T4" s="4"/>
    </row>
    <row r="5" spans="1:20" x14ac:dyDescent="0.25">
      <c r="A5" s="3">
        <v>104</v>
      </c>
      <c r="B5" s="3" t="s">
        <v>21</v>
      </c>
      <c r="C5" s="3">
        <v>19</v>
      </c>
      <c r="D5" s="3" t="s">
        <v>16</v>
      </c>
      <c r="E5" s="3" t="s">
        <v>22</v>
      </c>
      <c r="F5" s="3">
        <v>2</v>
      </c>
      <c r="G5" s="3" t="s">
        <v>23</v>
      </c>
      <c r="H5" s="3">
        <v>30</v>
      </c>
      <c r="I5" s="3">
        <v>70</v>
      </c>
      <c r="J5" s="3">
        <v>10</v>
      </c>
    </row>
    <row r="6" spans="1:20" x14ac:dyDescent="0.25">
      <c r="A6" s="3">
        <v>105</v>
      </c>
      <c r="B6" s="3" t="s">
        <v>24</v>
      </c>
      <c r="C6" s="3">
        <v>22</v>
      </c>
      <c r="D6" s="3" t="s">
        <v>12</v>
      </c>
      <c r="E6" s="3" t="s">
        <v>25</v>
      </c>
      <c r="F6" s="3">
        <v>4</v>
      </c>
      <c r="G6" s="3" t="s">
        <v>26</v>
      </c>
      <c r="H6" s="3">
        <v>90</v>
      </c>
      <c r="I6" s="3">
        <v>98</v>
      </c>
      <c r="J6" s="3">
        <v>20</v>
      </c>
    </row>
    <row r="7" spans="1:20" x14ac:dyDescent="0.25">
      <c r="A7" s="3">
        <v>106</v>
      </c>
      <c r="B7" s="3" t="s">
        <v>27</v>
      </c>
      <c r="C7" s="3">
        <v>20</v>
      </c>
      <c r="D7" s="3" t="s">
        <v>16</v>
      </c>
      <c r="E7" s="3" t="s">
        <v>13</v>
      </c>
      <c r="F7" s="3">
        <v>3</v>
      </c>
      <c r="G7" s="3" t="s">
        <v>14</v>
      </c>
      <c r="H7" s="3">
        <v>55</v>
      </c>
      <c r="I7" s="3">
        <v>80</v>
      </c>
      <c r="J7" s="3">
        <v>14</v>
      </c>
    </row>
    <row r="8" spans="1:20" x14ac:dyDescent="0.25">
      <c r="A8" s="3">
        <v>107</v>
      </c>
      <c r="B8" s="3" t="s">
        <v>28</v>
      </c>
      <c r="C8" s="3">
        <v>21</v>
      </c>
      <c r="D8" s="3" t="s">
        <v>12</v>
      </c>
      <c r="E8" s="3" t="s">
        <v>17</v>
      </c>
      <c r="F8" s="3">
        <v>2</v>
      </c>
      <c r="G8" s="3" t="s">
        <v>20</v>
      </c>
      <c r="H8" s="3">
        <v>40</v>
      </c>
      <c r="I8" s="3">
        <v>65</v>
      </c>
      <c r="J8" s="3">
        <v>12</v>
      </c>
    </row>
    <row r="9" spans="1:20" x14ac:dyDescent="0.25">
      <c r="A9" s="3">
        <v>108</v>
      </c>
      <c r="B9" s="3" t="s">
        <v>29</v>
      </c>
      <c r="C9" s="3">
        <v>22</v>
      </c>
      <c r="D9" s="3" t="s">
        <v>16</v>
      </c>
      <c r="E9" s="3" t="s">
        <v>22</v>
      </c>
      <c r="F9" s="3">
        <v>4</v>
      </c>
      <c r="G9" s="3" t="s">
        <v>23</v>
      </c>
      <c r="H9" s="3">
        <v>78</v>
      </c>
      <c r="I9" s="3">
        <v>90</v>
      </c>
      <c r="J9" s="3">
        <v>18</v>
      </c>
    </row>
    <row r="10" spans="1:20" x14ac:dyDescent="0.25">
      <c r="A10" s="3">
        <v>109</v>
      </c>
      <c r="B10" s="3" t="s">
        <v>30</v>
      </c>
      <c r="C10" s="3">
        <v>20</v>
      </c>
      <c r="D10" s="3" t="s">
        <v>12</v>
      </c>
      <c r="E10" s="3" t="s">
        <v>25</v>
      </c>
      <c r="F10" s="3">
        <v>3</v>
      </c>
      <c r="G10" s="3" t="s">
        <v>26</v>
      </c>
      <c r="H10" s="3">
        <v>62</v>
      </c>
      <c r="I10" s="3">
        <v>85</v>
      </c>
      <c r="J10" s="3">
        <v>15</v>
      </c>
    </row>
    <row r="11" spans="1:20" x14ac:dyDescent="0.25">
      <c r="A11" s="3">
        <v>110</v>
      </c>
      <c r="B11" s="3" t="s">
        <v>31</v>
      </c>
      <c r="C11" s="3">
        <v>19</v>
      </c>
      <c r="D11" s="3" t="s">
        <v>16</v>
      </c>
      <c r="E11" s="3" t="s">
        <v>13</v>
      </c>
      <c r="F11" s="3">
        <v>2</v>
      </c>
      <c r="G11" s="3" t="s">
        <v>18</v>
      </c>
      <c r="H11" s="3">
        <v>35</v>
      </c>
      <c r="I11" s="3">
        <v>72</v>
      </c>
      <c r="J11" s="3">
        <v>11</v>
      </c>
    </row>
    <row r="12" spans="1:20" x14ac:dyDescent="0.25">
      <c r="A12" s="3">
        <v>111</v>
      </c>
      <c r="B12" s="3" t="s">
        <v>32</v>
      </c>
      <c r="C12" s="3">
        <v>22</v>
      </c>
      <c r="D12" s="3" t="s">
        <v>12</v>
      </c>
      <c r="E12" s="3" t="s">
        <v>17</v>
      </c>
      <c r="F12" s="3">
        <v>4</v>
      </c>
      <c r="G12" s="3" t="s">
        <v>20</v>
      </c>
      <c r="H12" s="3">
        <v>81</v>
      </c>
      <c r="I12" s="3">
        <v>96</v>
      </c>
      <c r="J12" s="3">
        <v>19</v>
      </c>
    </row>
    <row r="13" spans="1:20" x14ac:dyDescent="0.25">
      <c r="A13" s="3">
        <v>112</v>
      </c>
      <c r="B13" s="3" t="s">
        <v>33</v>
      </c>
      <c r="C13" s="3">
        <v>21</v>
      </c>
      <c r="D13" s="3" t="s">
        <v>16</v>
      </c>
      <c r="E13" s="3" t="s">
        <v>22</v>
      </c>
      <c r="F13" s="3">
        <v>3</v>
      </c>
      <c r="G13" s="3" t="s">
        <v>23</v>
      </c>
      <c r="H13" s="3">
        <v>29</v>
      </c>
      <c r="I13" s="3">
        <v>68</v>
      </c>
      <c r="J13" s="3">
        <v>10</v>
      </c>
    </row>
    <row r="14" spans="1:20" x14ac:dyDescent="0.25">
      <c r="A14" s="3">
        <v>113</v>
      </c>
      <c r="B14" s="3" t="s">
        <v>34</v>
      </c>
      <c r="C14" s="3">
        <v>23</v>
      </c>
      <c r="D14" s="3" t="s">
        <v>12</v>
      </c>
      <c r="E14" s="3" t="s">
        <v>25</v>
      </c>
      <c r="F14" s="3">
        <v>4</v>
      </c>
      <c r="G14" s="3" t="s">
        <v>26</v>
      </c>
      <c r="H14" s="3">
        <v>67</v>
      </c>
      <c r="I14" s="3">
        <v>89</v>
      </c>
      <c r="J14" s="3">
        <v>16</v>
      </c>
    </row>
    <row r="15" spans="1:20" x14ac:dyDescent="0.25">
      <c r="A15" s="3">
        <v>114</v>
      </c>
      <c r="B15" s="3" t="s">
        <v>35</v>
      </c>
      <c r="C15" s="3">
        <v>20</v>
      </c>
      <c r="D15" s="3" t="s">
        <v>16</v>
      </c>
      <c r="E15" s="3" t="s">
        <v>13</v>
      </c>
      <c r="F15" s="3">
        <v>2</v>
      </c>
      <c r="G15" s="3" t="s">
        <v>14</v>
      </c>
      <c r="H15" s="3">
        <v>48</v>
      </c>
      <c r="I15" s="3">
        <v>76</v>
      </c>
      <c r="J15" s="3">
        <v>13</v>
      </c>
    </row>
    <row r="16" spans="1:20" x14ac:dyDescent="0.25">
      <c r="A16" s="3">
        <v>115</v>
      </c>
      <c r="B16" s="3" t="s">
        <v>36</v>
      </c>
      <c r="C16" s="3">
        <v>22</v>
      </c>
      <c r="D16" s="3" t="s">
        <v>12</v>
      </c>
      <c r="E16" s="3" t="s">
        <v>17</v>
      </c>
      <c r="F16" s="3">
        <v>4</v>
      </c>
      <c r="G16" s="3" t="s">
        <v>20</v>
      </c>
      <c r="H16" s="3">
        <v>92</v>
      </c>
      <c r="I16" s="3">
        <v>99</v>
      </c>
      <c r="J16" s="3">
        <v>20</v>
      </c>
    </row>
    <row r="21" spans="2:8" ht="23.25" x14ac:dyDescent="0.35">
      <c r="C21" s="1" t="s">
        <v>4</v>
      </c>
    </row>
    <row r="25" spans="2:8" x14ac:dyDescent="0.25">
      <c r="B25" s="5"/>
      <c r="C25" s="5" t="s">
        <v>38</v>
      </c>
      <c r="D25" s="5" t="s">
        <v>37</v>
      </c>
      <c r="E25" s="5" t="s">
        <v>40</v>
      </c>
      <c r="F25" s="5" t="s">
        <v>41</v>
      </c>
      <c r="G25" s="5" t="s">
        <v>42</v>
      </c>
      <c r="H25" s="5" t="s">
        <v>39</v>
      </c>
    </row>
    <row r="26" spans="2:8" x14ac:dyDescent="0.25">
      <c r="C26" s="3" t="s">
        <v>11</v>
      </c>
      <c r="D26" t="str">
        <f>IF(H1&gt;35,"pass","fail")</f>
        <v>pass</v>
      </c>
      <c r="E26" t="b">
        <f>AND(C1&gt;20,I1&gt;75)</f>
        <v>1</v>
      </c>
      <c r="F26" t="b">
        <f>OR(D2="Male",E2="CSE")</f>
        <v>1</v>
      </c>
      <c r="G26" t="b">
        <f>NOT(J2&gt;18)</f>
        <v>1</v>
      </c>
      <c r="H26" t="str">
        <f>IF(H2&gt;35,"Eligible","Not Eligible")</f>
        <v>Eligible</v>
      </c>
    </row>
    <row r="27" spans="2:8" x14ac:dyDescent="0.25">
      <c r="C27" s="3" t="s">
        <v>15</v>
      </c>
      <c r="D27" t="str">
        <f t="shared" ref="D27:D40" si="0">IF(H2&gt;35,"pass","fail")</f>
        <v>pass</v>
      </c>
      <c r="E27" t="b">
        <f t="shared" ref="E27:E40" si="1">AND(C2&gt;20,I2&gt;75)</f>
        <v>0</v>
      </c>
      <c r="F27" t="b">
        <f t="shared" ref="F27:F40" si="2">OR(D3="Male",E3="CSE")</f>
        <v>0</v>
      </c>
      <c r="G27" t="b">
        <f t="shared" ref="G27:G40" si="3">NOT(J3&gt;18)</f>
        <v>1</v>
      </c>
      <c r="H27" t="str">
        <f t="shared" ref="H27:H40" si="4">IF(H3&gt;35,"Eligible","Not Eligible")</f>
        <v>Eligible</v>
      </c>
    </row>
    <row r="28" spans="2:8" x14ac:dyDescent="0.25">
      <c r="C28" s="3" t="s">
        <v>19</v>
      </c>
      <c r="D28" t="str">
        <f t="shared" si="0"/>
        <v>pass</v>
      </c>
      <c r="E28" t="b">
        <f t="shared" si="1"/>
        <v>1</v>
      </c>
      <c r="F28" t="b">
        <f t="shared" si="2"/>
        <v>1</v>
      </c>
      <c r="G28" t="b">
        <f t="shared" si="3"/>
        <v>1</v>
      </c>
      <c r="H28" t="str">
        <f t="shared" si="4"/>
        <v>Eligible</v>
      </c>
    </row>
    <row r="29" spans="2:8" x14ac:dyDescent="0.25">
      <c r="C29" s="3" t="s">
        <v>21</v>
      </c>
      <c r="D29" t="str">
        <f t="shared" si="0"/>
        <v>pass</v>
      </c>
      <c r="E29" t="b">
        <f t="shared" si="1"/>
        <v>1</v>
      </c>
      <c r="F29" t="b">
        <f t="shared" si="2"/>
        <v>0</v>
      </c>
      <c r="G29" t="b">
        <f t="shared" si="3"/>
        <v>1</v>
      </c>
      <c r="H29" t="str">
        <f t="shared" si="4"/>
        <v>Not Eligible</v>
      </c>
    </row>
    <row r="30" spans="2:8" x14ac:dyDescent="0.25">
      <c r="C30" s="3" t="s">
        <v>24</v>
      </c>
      <c r="D30" t="str">
        <f t="shared" si="0"/>
        <v>fail</v>
      </c>
      <c r="E30" t="b">
        <f t="shared" si="1"/>
        <v>0</v>
      </c>
      <c r="F30" t="b">
        <f t="shared" si="2"/>
        <v>1</v>
      </c>
      <c r="G30" t="b">
        <f t="shared" si="3"/>
        <v>0</v>
      </c>
      <c r="H30" t="str">
        <f t="shared" si="4"/>
        <v>Eligible</v>
      </c>
    </row>
    <row r="31" spans="2:8" x14ac:dyDescent="0.25">
      <c r="C31" s="3" t="s">
        <v>27</v>
      </c>
      <c r="D31" t="str">
        <f t="shared" si="0"/>
        <v>pass</v>
      </c>
      <c r="E31" t="b">
        <f t="shared" si="1"/>
        <v>1</v>
      </c>
      <c r="F31" t="b">
        <f t="shared" si="2"/>
        <v>1</v>
      </c>
      <c r="G31" t="b">
        <f t="shared" si="3"/>
        <v>1</v>
      </c>
      <c r="H31" t="str">
        <f t="shared" si="4"/>
        <v>Eligible</v>
      </c>
    </row>
    <row r="32" spans="2:8" x14ac:dyDescent="0.25">
      <c r="C32" s="3" t="s">
        <v>28</v>
      </c>
      <c r="D32" t="str">
        <f t="shared" si="0"/>
        <v>pass</v>
      </c>
      <c r="E32" t="b">
        <f t="shared" si="1"/>
        <v>0</v>
      </c>
      <c r="F32" t="b">
        <f t="shared" si="2"/>
        <v>1</v>
      </c>
      <c r="G32" t="b">
        <f t="shared" si="3"/>
        <v>1</v>
      </c>
      <c r="H32" t="str">
        <f t="shared" si="4"/>
        <v>Eligible</v>
      </c>
    </row>
    <row r="33" spans="3:8" x14ac:dyDescent="0.25">
      <c r="C33" s="3" t="s">
        <v>29</v>
      </c>
      <c r="D33" t="str">
        <f t="shared" si="0"/>
        <v>pass</v>
      </c>
      <c r="E33" t="b">
        <f t="shared" si="1"/>
        <v>0</v>
      </c>
      <c r="F33" t="b">
        <f t="shared" si="2"/>
        <v>0</v>
      </c>
      <c r="G33" t="b">
        <f t="shared" si="3"/>
        <v>1</v>
      </c>
      <c r="H33" t="str">
        <f t="shared" si="4"/>
        <v>Eligible</v>
      </c>
    </row>
    <row r="34" spans="3:8" x14ac:dyDescent="0.25">
      <c r="C34" s="3" t="s">
        <v>30</v>
      </c>
      <c r="D34" t="str">
        <f t="shared" si="0"/>
        <v>pass</v>
      </c>
      <c r="E34" t="b">
        <f t="shared" si="1"/>
        <v>1</v>
      </c>
      <c r="F34" t="b">
        <f t="shared" si="2"/>
        <v>1</v>
      </c>
      <c r="G34" t="b">
        <f t="shared" si="3"/>
        <v>1</v>
      </c>
      <c r="H34" t="str">
        <f t="shared" si="4"/>
        <v>Eligible</v>
      </c>
    </row>
    <row r="35" spans="3:8" x14ac:dyDescent="0.25">
      <c r="C35" s="3" t="s">
        <v>31</v>
      </c>
      <c r="D35" t="str">
        <f t="shared" si="0"/>
        <v>pass</v>
      </c>
      <c r="E35" t="b">
        <f t="shared" si="1"/>
        <v>0</v>
      </c>
      <c r="F35" t="b">
        <f t="shared" si="2"/>
        <v>1</v>
      </c>
      <c r="G35" t="b">
        <f t="shared" si="3"/>
        <v>1</v>
      </c>
      <c r="H35" t="str">
        <f t="shared" si="4"/>
        <v>Not Eligible</v>
      </c>
    </row>
    <row r="36" spans="3:8" x14ac:dyDescent="0.25">
      <c r="C36" s="3" t="s">
        <v>32</v>
      </c>
      <c r="D36" t="str">
        <f t="shared" si="0"/>
        <v>fail</v>
      </c>
      <c r="E36" t="b">
        <f t="shared" si="1"/>
        <v>0</v>
      </c>
      <c r="F36" t="b">
        <f t="shared" si="2"/>
        <v>1</v>
      </c>
      <c r="G36" t="b">
        <f t="shared" si="3"/>
        <v>0</v>
      </c>
      <c r="H36" t="str">
        <f t="shared" si="4"/>
        <v>Eligible</v>
      </c>
    </row>
    <row r="37" spans="3:8" x14ac:dyDescent="0.25">
      <c r="C37" s="3" t="s">
        <v>33</v>
      </c>
      <c r="D37" t="str">
        <f t="shared" si="0"/>
        <v>pass</v>
      </c>
      <c r="E37" t="b">
        <f t="shared" si="1"/>
        <v>1</v>
      </c>
      <c r="F37" t="b">
        <f t="shared" si="2"/>
        <v>0</v>
      </c>
      <c r="G37" t="b">
        <f t="shared" si="3"/>
        <v>1</v>
      </c>
      <c r="H37" t="str">
        <f t="shared" si="4"/>
        <v>Not Eligible</v>
      </c>
    </row>
    <row r="38" spans="3:8" x14ac:dyDescent="0.25">
      <c r="C38" s="3" t="s">
        <v>34</v>
      </c>
      <c r="D38" t="str">
        <f t="shared" si="0"/>
        <v>fail</v>
      </c>
      <c r="E38" t="b">
        <f t="shared" si="1"/>
        <v>0</v>
      </c>
      <c r="F38" t="b">
        <f t="shared" si="2"/>
        <v>1</v>
      </c>
      <c r="G38" t="b">
        <f t="shared" si="3"/>
        <v>1</v>
      </c>
      <c r="H38" t="str">
        <f t="shared" si="4"/>
        <v>Eligible</v>
      </c>
    </row>
    <row r="39" spans="3:8" x14ac:dyDescent="0.25">
      <c r="C39" s="3" t="s">
        <v>35</v>
      </c>
      <c r="D39" t="str">
        <f t="shared" si="0"/>
        <v>pass</v>
      </c>
      <c r="E39" t="b">
        <f t="shared" si="1"/>
        <v>1</v>
      </c>
      <c r="F39" t="b">
        <f t="shared" si="2"/>
        <v>1</v>
      </c>
      <c r="G39" t="b">
        <f t="shared" si="3"/>
        <v>1</v>
      </c>
      <c r="H39" t="str">
        <f t="shared" si="4"/>
        <v>Eligible</v>
      </c>
    </row>
    <row r="40" spans="3:8" x14ac:dyDescent="0.25">
      <c r="C40" s="3" t="s">
        <v>36</v>
      </c>
      <c r="D40" t="str">
        <f t="shared" si="0"/>
        <v>pass</v>
      </c>
      <c r="E40" t="b">
        <f t="shared" si="1"/>
        <v>0</v>
      </c>
      <c r="F40" t="b">
        <f t="shared" si="2"/>
        <v>1</v>
      </c>
      <c r="G40" t="b">
        <f t="shared" si="3"/>
        <v>0</v>
      </c>
      <c r="H40" t="str">
        <f t="shared" si="4"/>
        <v>Eligible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2026-06-02T05:14:53Z</dcterms:created>
  <dcterms:modified xsi:type="dcterms:W3CDTF">2026-06-02T08:50:52Z</dcterms:modified>
</cp:coreProperties>
</file>